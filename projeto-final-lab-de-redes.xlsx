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quipment List" sheetId="1" r:id="rId5"/>
  </sheets>
  <definedNames/>
  <calcPr/>
</workbook>
</file>

<file path=xl/sharedStrings.xml><?xml version="1.0" encoding="utf-8"?>
<sst xmlns="http://schemas.openxmlformats.org/spreadsheetml/2006/main" count="52" uniqueCount="35">
  <si>
    <r>
      <rPr>
        <rFont val="Arial"/>
        <b/>
        <color rgb="FF000000"/>
        <sz val="12.0"/>
      </rPr>
      <t>Floor Plan for Projeto Final Lab de Redes</t>
    </r>
    <r>
      <rPr>
        <rFont val="Calibri"/>
        <color rgb="FF000000"/>
        <sz val="11.0"/>
      </rPr>
      <t xml:space="preserve">
</t>
    </r>
    <r>
      <rPr>
        <rFont val="Arial"/>
        <color rgb="FF000000"/>
        <sz val="8.0"/>
      </rPr>
      <t xml:space="preserve">
01/31/2026</t>
    </r>
  </si>
  <si>
    <t/>
  </si>
  <si>
    <t>Type</t>
  </si>
  <si>
    <t>Description</t>
  </si>
  <si>
    <t>Quantity</t>
  </si>
  <si>
    <t>Backup</t>
  </si>
  <si>
    <t>Total</t>
  </si>
  <si>
    <t>Unit Price</t>
  </si>
  <si>
    <t>Discount</t>
  </si>
  <si>
    <t>Total Price</t>
  </si>
  <si>
    <t>ID ata</t>
  </si>
  <si>
    <t>ER7206</t>
  </si>
  <si>
    <t>Switch 48 Portas + 4 Portas SFP+ 10GB H3C S5170-54S-EI L2</t>
  </si>
  <si>
    <t>0</t>
  </si>
  <si>
    <t>0.00%</t>
  </si>
  <si>
    <t>00394452000103-1-011715/2025-000002</t>
  </si>
  <si>
    <t>SG6654XHP</t>
  </si>
  <si>
    <t>Roteador OMADA
1.1. 2 portas Gigabit SFP WAN/LAN;
1.2. 1 porta Gigabit WAN/LAN
10/100/1000BASE;
1.3. 1 porta Gigabit WAN
10/100/1000BASE;
1.4. 8 portas Gigabit LAN
10/100/1000BASE;
1.5. Devem ter suporte aos protocolos: IEEE
802.3, IEEE802.3u, IEEE802.3ab,
IEEE802.3z, IEEE 802.3x, IEEE 802.1q,
TCP/IP, DHCP, ICMP, NAT, PPPoE, NTP,
HTTP, HTTPS, DNS, IPSec, PPTP, L2TP,
SNMP;
1.6. Suporte 8 portas ao protocolo 802.3af/at,
PoE com capacidade de 110w ou mais;
1.7. Deve possuir 1GB ou mais de DRAM;
1.8. Deve possuir 2 núcleos de CPU;
1.9. Deve suportar taxa de transferência NAT
IP estático (Upload / Download) mínimo de
935.5 Mbps / 942.1 Mbps;
1.10. Deve suportar taxa de transferência
NAT DHCP (Upload / Download) mínimo de
940.2 Mbps / 941.7 Mbps;
1.11. Deve suportar as seguintes funções de
camada 3: IP estático, IP dinâmico, PPPoE,
PPTP, L2TP;
1.12. Deve possuir as funções de: Servidor
DHCP, Reservar de endereço DHCP,
Interfaces Multi-IP, DHCP Multi-IP;
1.13. Suporte a SNMP v1/v2c/v3;</t>
  </si>
  <si>
    <t>13167804000121-1-000029/2025-000002</t>
  </si>
  <si>
    <t>Rack de parede</t>
  </si>
  <si>
    <t>95684478000194-1-000121/2025-000014</t>
  </si>
  <si>
    <t>EAP653 UR</t>
  </si>
  <si>
    <t>UBIQUITI UNIFI U6+ PRO COM FONTE INCLUSA</t>
  </si>
  <si>
    <t>95684478000194-1-000121/2025-000022</t>
  </si>
  <si>
    <t>Computador All-in-one
Workaio 12700</t>
  </si>
  <si>
    <t>95684478000194-1-000121/2025-000016</t>
  </si>
  <si>
    <t xml:space="preserve">Nobreak 1500VA </t>
  </si>
  <si>
    <t xml:space="preserve">
95684478000194-1-000121/2025-000006</t>
  </si>
  <si>
    <t>Cabo CAT6A caixa com 305m</t>
  </si>
  <si>
    <t>00394494000136-1-001096/2024-000001</t>
  </si>
  <si>
    <t>Notebook com
Processador
12ªGeração de Core
i5- 12450HX</t>
  </si>
  <si>
    <t>00394452000103-1-021301/2025-000001</t>
  </si>
  <si>
    <t>Computador All-in-one Thinkcentre
M70Q GEN5"</t>
  </si>
  <si>
    <t>05805924000189-1-000032/2024-000001</t>
  </si>
  <si>
    <t>TOTAL: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</si>
</sst>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7">
    <font>
      <sz val="11.0"/>
      <color rgb="FF000000"/>
      <name val="Calibri"/>
      <scheme val="minor"/>
    </font>
    <font>
      <sz val="11.0"/>
      <color rgb="FF000000"/>
      <name val="Calibri"/>
    </font>
    <font>
      <sz val="8.0"/>
      <color theme="1"/>
      <name val="Manrope"/>
    </font>
    <font>
      <color theme="1"/>
      <name val="Calibri"/>
      <scheme val="minor"/>
    </font>
    <font>
      <b/>
      <sz val="14.0"/>
      <color theme="1"/>
      <name val="Manrope"/>
    </font>
    <font>
      <sz val="12.0"/>
      <color theme="1"/>
      <name val="Manrope"/>
    </font>
    <font>
      <sz val="16.0"/>
      <color theme="1"/>
      <name val="Manrope"/>
    </font>
  </fonts>
  <fills count="3">
    <fill>
      <patternFill patternType="none"/>
    </fill>
    <fill>
      <patternFill patternType="lightGray"/>
    </fill>
    <fill>
      <patternFill patternType="solid">
        <fgColor rgb="FFE1F5E1"/>
        <bgColor rgb="FFE1F5E1"/>
      </patternFill>
    </fill>
  </fills>
  <borders count="3">
    <border/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horizontal="left" readingOrder="0" shrinkToFit="0" vertical="center" wrapText="1"/>
    </xf>
    <xf borderId="1" fillId="2" fontId="2" numFmtId="0" xfId="0" applyAlignment="1" applyBorder="1" applyFill="1" applyFont="1">
      <alignment horizontal="left" vertical="center"/>
    </xf>
    <xf borderId="1" fillId="2" fontId="2" numFmtId="0" xfId="0" applyAlignment="1" applyBorder="1" applyFont="1">
      <alignment horizontal="right" vertical="center"/>
    </xf>
    <xf borderId="1" fillId="2" fontId="2" numFmtId="0" xfId="0" applyAlignment="1" applyBorder="1" applyFont="1">
      <alignment horizontal="right" readingOrder="0" vertical="center"/>
    </xf>
    <xf borderId="2" fillId="0" fontId="1" numFmtId="0" xfId="0" applyBorder="1" applyFont="1"/>
    <xf borderId="2" fillId="0" fontId="2" numFmtId="0" xfId="0" applyAlignment="1" applyBorder="1" applyFont="1">
      <alignment horizontal="left" shrinkToFit="0" vertical="center" wrapText="1"/>
    </xf>
    <xf borderId="2" fillId="0" fontId="2" numFmtId="0" xfId="0" applyAlignment="1" applyBorder="1" applyFont="1">
      <alignment horizontal="left" readingOrder="0" shrinkToFit="0" vertical="center" wrapText="1"/>
    </xf>
    <xf borderId="2" fillId="0" fontId="2" numFmtId="4" xfId="0" applyAlignment="1" applyBorder="1" applyFont="1" applyNumberFormat="1">
      <alignment horizontal="left" readingOrder="0" shrinkToFit="0" vertical="center" wrapText="1"/>
    </xf>
    <xf borderId="2" fillId="0" fontId="2" numFmtId="4" xfId="0" applyAlignment="1" applyBorder="1" applyFont="1" applyNumberFormat="1">
      <alignment horizontal="left" shrinkToFit="0" vertical="center" wrapText="1"/>
    </xf>
    <xf borderId="2" fillId="0" fontId="2" numFmtId="164" xfId="0" applyAlignment="1" applyBorder="1" applyFont="1" applyNumberFormat="1">
      <alignment horizontal="right" readingOrder="0" shrinkToFit="0" vertical="center" wrapText="1"/>
    </xf>
    <xf borderId="2" fillId="0" fontId="2" numFmtId="0" xfId="0" applyAlignment="1" applyBorder="1" applyFont="1">
      <alignment horizontal="right" shrinkToFit="0" vertical="center" wrapText="1"/>
    </xf>
    <xf borderId="2" fillId="0" fontId="2" numFmtId="164" xfId="0" applyAlignment="1" applyBorder="1" applyFont="1" applyNumberFormat="1">
      <alignment horizontal="right" shrinkToFit="0" vertical="center" wrapText="1"/>
    </xf>
    <xf borderId="2" fillId="0" fontId="2" numFmtId="4" xfId="0" applyAlignment="1" applyBorder="1" applyFont="1" applyNumberFormat="1">
      <alignment horizontal="right" readingOrder="0" shrinkToFit="0" vertical="center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readingOrder="0" vertical="center"/>
    </xf>
    <xf borderId="0" fillId="0" fontId="1" numFmtId="164" xfId="0" applyAlignment="1" applyFont="1" applyNumberFormat="1">
      <alignment horizontal="right" shrinkToFit="0" vertical="center" wrapText="1"/>
    </xf>
    <xf borderId="0" fillId="0" fontId="2" numFmtId="0" xfId="0" applyAlignment="1" applyFont="1">
      <alignment horizontal="right" vertical="center"/>
    </xf>
    <xf borderId="0" fillId="0" fontId="5" numFmtId="0" xfId="0" applyAlignment="1" applyFont="1">
      <alignment horizontal="right" shrinkToFit="0" vertical="center" wrapText="1"/>
    </xf>
    <xf borderId="0" fillId="0" fontId="5" numFmtId="0" xfId="0" applyAlignment="1" applyFont="1">
      <alignment horizontal="center" vertical="center"/>
    </xf>
    <xf borderId="0" fillId="0" fontId="6" numFmtId="0" xfId="0" applyAlignment="1" applyFon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2.png"/><Relationship Id="rId5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695450" cy="762000"/>
    <xdr:pic>
      <xdr:nvPicPr>
        <xdr:cNvPr descr="Picture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3</xdr:row>
      <xdr:rowOff>0</xdr:rowOff>
    </xdr:from>
    <xdr:ext cx="552450" cy="552450"/>
    <xdr:pic>
      <xdr:nvPicPr>
        <xdr:cNvPr id="0" name="image3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4</xdr:row>
      <xdr:rowOff>0</xdr:rowOff>
    </xdr:from>
    <xdr:ext cx="552450" cy="552450"/>
    <xdr:pic>
      <xdr:nvPicPr>
        <xdr:cNvPr id="0" name="image5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6</xdr:row>
      <xdr:rowOff>0</xdr:rowOff>
    </xdr:from>
    <xdr:ext cx="552450" cy="552450"/>
    <xdr:pic>
      <xdr:nvPicPr>
        <xdr:cNvPr id="0" name="image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0</xdr:colOff>
      <xdr:row>9</xdr:row>
      <xdr:rowOff>0</xdr:rowOff>
    </xdr:from>
    <xdr:ext cx="552450" cy="552450"/>
    <xdr:pic>
      <xdr:nvPicPr>
        <xdr:cNvPr id="0" name="image4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3" width="8.71"/>
    <col customWidth="1" min="4" max="4" width="13.0"/>
    <col customWidth="1" min="5" max="5" width="8.71"/>
    <col customWidth="1" min="6" max="6" width="26.0"/>
    <col customWidth="1" min="7" max="12" width="8.71"/>
    <col customWidth="1" min="13" max="13" width="16.0"/>
    <col customWidth="1" min="14" max="14" width="31.0"/>
    <col customWidth="1" min="15" max="26" width="8.71"/>
  </cols>
  <sheetData>
    <row r="1" ht="116.25" customHeight="1">
      <c r="A1" s="1"/>
      <c r="D1" s="1"/>
      <c r="F1" s="2" t="s">
        <v>0</v>
      </c>
    </row>
    <row r="2" ht="15.75" customHeight="1">
      <c r="A2" s="1" t="s">
        <v>1</v>
      </c>
    </row>
    <row r="3" ht="23.25" customHeight="1">
      <c r="A3" s="3" t="s">
        <v>1</v>
      </c>
      <c r="B3" s="3" t="s">
        <v>1</v>
      </c>
      <c r="C3" s="3" t="s">
        <v>1</v>
      </c>
      <c r="D3" s="3" t="s">
        <v>2</v>
      </c>
      <c r="E3" s="3" t="s">
        <v>1</v>
      </c>
      <c r="F3" s="3" t="s">
        <v>3</v>
      </c>
      <c r="G3" s="3" t="s">
        <v>1</v>
      </c>
      <c r="H3" s="3" t="s">
        <v>4</v>
      </c>
      <c r="I3" s="3" t="s">
        <v>5</v>
      </c>
      <c r="J3" s="3" t="s">
        <v>6</v>
      </c>
      <c r="K3" s="4" t="s">
        <v>7</v>
      </c>
      <c r="L3" s="4" t="s">
        <v>8</v>
      </c>
      <c r="M3" s="4" t="s">
        <v>9</v>
      </c>
      <c r="N3" s="5" t="s">
        <v>10</v>
      </c>
    </row>
    <row r="4" ht="43.5" customHeight="1">
      <c r="A4" s="6"/>
      <c r="B4" s="6"/>
      <c r="C4" s="6"/>
      <c r="D4" s="7" t="s">
        <v>11</v>
      </c>
      <c r="E4" s="6"/>
      <c r="F4" s="8" t="s">
        <v>12</v>
      </c>
      <c r="G4" s="6"/>
      <c r="H4" s="9">
        <v>5.0</v>
      </c>
      <c r="I4" s="7" t="s">
        <v>13</v>
      </c>
      <c r="J4" s="10">
        <f t="shared" ref="J4:J11" si="1">SUM(H4,I4)</f>
        <v>5</v>
      </c>
      <c r="K4" s="11">
        <v>4578.0</v>
      </c>
      <c r="L4" s="12" t="s">
        <v>14</v>
      </c>
      <c r="M4" s="13">
        <f t="shared" ref="M4:M12" si="2">PRODUCT(J4,K4)</f>
        <v>22890</v>
      </c>
      <c r="N4" s="14" t="s">
        <v>15</v>
      </c>
    </row>
    <row r="5" ht="43.5" customHeight="1">
      <c r="A5" s="6"/>
      <c r="B5" s="6"/>
      <c r="C5" s="6"/>
      <c r="D5" s="7" t="s">
        <v>16</v>
      </c>
      <c r="E5" s="6"/>
      <c r="F5" s="8" t="s">
        <v>17</v>
      </c>
      <c r="G5" s="6"/>
      <c r="H5" s="10">
        <v>1.0</v>
      </c>
      <c r="I5" s="7" t="s">
        <v>13</v>
      </c>
      <c r="J5" s="10">
        <f t="shared" si="1"/>
        <v>1</v>
      </c>
      <c r="K5" s="11">
        <v>2774.0</v>
      </c>
      <c r="L5" s="12" t="s">
        <v>14</v>
      </c>
      <c r="M5" s="13">
        <f t="shared" si="2"/>
        <v>2774</v>
      </c>
      <c r="N5" s="14" t="s">
        <v>18</v>
      </c>
    </row>
    <row r="6" ht="43.5" customHeight="1">
      <c r="A6" s="6"/>
      <c r="B6" s="6"/>
      <c r="C6" s="6"/>
      <c r="D6" s="7"/>
      <c r="E6" s="6"/>
      <c r="F6" s="8" t="s">
        <v>19</v>
      </c>
      <c r="G6" s="6"/>
      <c r="H6" s="10">
        <v>1.0</v>
      </c>
      <c r="I6" s="8">
        <v>0.0</v>
      </c>
      <c r="J6" s="10">
        <f t="shared" si="1"/>
        <v>1</v>
      </c>
      <c r="K6" s="11">
        <v>470.0</v>
      </c>
      <c r="L6" s="12" t="s">
        <v>14</v>
      </c>
      <c r="M6" s="13">
        <f t="shared" si="2"/>
        <v>470</v>
      </c>
      <c r="N6" s="14" t="s">
        <v>20</v>
      </c>
    </row>
    <row r="7" ht="43.5" customHeight="1">
      <c r="A7" s="6"/>
      <c r="B7" s="6"/>
      <c r="C7" s="6"/>
      <c r="D7" s="7" t="s">
        <v>21</v>
      </c>
      <c r="E7" s="6"/>
      <c r="F7" s="8" t="s">
        <v>22</v>
      </c>
      <c r="G7" s="6"/>
      <c r="H7" s="9">
        <v>5.0</v>
      </c>
      <c r="I7" s="7" t="s">
        <v>13</v>
      </c>
      <c r="J7" s="10">
        <f t="shared" si="1"/>
        <v>5</v>
      </c>
      <c r="K7" s="11">
        <v>1800.0</v>
      </c>
      <c r="L7" s="12" t="s">
        <v>14</v>
      </c>
      <c r="M7" s="13">
        <f t="shared" si="2"/>
        <v>9000</v>
      </c>
      <c r="N7" s="14" t="s">
        <v>23</v>
      </c>
    </row>
    <row r="8" ht="43.5" customHeight="1">
      <c r="A8" s="6"/>
      <c r="B8" s="6"/>
      <c r="C8" s="6"/>
      <c r="D8" s="7"/>
      <c r="E8" s="6"/>
      <c r="F8" s="8" t="s">
        <v>24</v>
      </c>
      <c r="G8" s="6"/>
      <c r="H8" s="9">
        <v>6.0</v>
      </c>
      <c r="I8" s="8">
        <v>0.0</v>
      </c>
      <c r="J8" s="10">
        <f t="shared" si="1"/>
        <v>6</v>
      </c>
      <c r="K8" s="11">
        <v>5099.0</v>
      </c>
      <c r="L8" s="12" t="s">
        <v>14</v>
      </c>
      <c r="M8" s="13">
        <f t="shared" si="2"/>
        <v>30594</v>
      </c>
      <c r="N8" s="14" t="s">
        <v>25</v>
      </c>
    </row>
    <row r="9" ht="43.5" customHeight="1">
      <c r="A9" s="6"/>
      <c r="B9" s="6"/>
      <c r="C9" s="6"/>
      <c r="D9" s="7"/>
      <c r="E9" s="6"/>
      <c r="F9" s="8" t="s">
        <v>26</v>
      </c>
      <c r="G9" s="6"/>
      <c r="H9" s="9">
        <v>2.0</v>
      </c>
      <c r="I9" s="8">
        <v>0.0</v>
      </c>
      <c r="J9" s="10">
        <f t="shared" si="1"/>
        <v>2</v>
      </c>
      <c r="K9" s="11">
        <v>679.0</v>
      </c>
      <c r="L9" s="12" t="s">
        <v>14</v>
      </c>
      <c r="M9" s="13">
        <f t="shared" si="2"/>
        <v>1358</v>
      </c>
      <c r="N9" s="14" t="s">
        <v>27</v>
      </c>
    </row>
    <row r="10" ht="43.5" customHeight="1">
      <c r="A10" s="6"/>
      <c r="B10" s="6"/>
      <c r="C10" s="6"/>
      <c r="D10" s="7"/>
      <c r="E10" s="6"/>
      <c r="F10" s="8" t="s">
        <v>28</v>
      </c>
      <c r="G10" s="6"/>
      <c r="H10" s="9">
        <v>2.0</v>
      </c>
      <c r="I10" s="7" t="s">
        <v>13</v>
      </c>
      <c r="J10" s="10">
        <f t="shared" si="1"/>
        <v>2</v>
      </c>
      <c r="K10" s="11">
        <v>509.0</v>
      </c>
      <c r="L10" s="12" t="s">
        <v>14</v>
      </c>
      <c r="M10" s="13">
        <f t="shared" si="2"/>
        <v>1018</v>
      </c>
      <c r="N10" s="14" t="s">
        <v>29</v>
      </c>
    </row>
    <row r="11">
      <c r="A11" s="6"/>
      <c r="B11" s="6"/>
      <c r="C11" s="6"/>
      <c r="D11" s="7"/>
      <c r="E11" s="6"/>
      <c r="F11" s="8" t="s">
        <v>30</v>
      </c>
      <c r="G11" s="6"/>
      <c r="H11" s="9">
        <v>5.0</v>
      </c>
      <c r="I11" s="7"/>
      <c r="J11" s="10">
        <f t="shared" si="1"/>
        <v>5</v>
      </c>
      <c r="K11" s="11">
        <v>4560.0</v>
      </c>
      <c r="L11" s="12" t="s">
        <v>14</v>
      </c>
      <c r="M11" s="13">
        <f t="shared" si="2"/>
        <v>22800</v>
      </c>
      <c r="N11" s="14" t="s">
        <v>31</v>
      </c>
      <c r="P11" s="15"/>
    </row>
    <row r="12">
      <c r="A12" s="6"/>
      <c r="B12" s="6"/>
      <c r="C12" s="6"/>
      <c r="D12" s="7"/>
      <c r="E12" s="6"/>
      <c r="F12" s="8" t="s">
        <v>32</v>
      </c>
      <c r="G12" s="6"/>
      <c r="H12" s="9">
        <v>3.0</v>
      </c>
      <c r="I12" s="7"/>
      <c r="J12" s="9">
        <v>3.0</v>
      </c>
      <c r="K12" s="11">
        <v>6130.0</v>
      </c>
      <c r="L12" s="12" t="s">
        <v>14</v>
      </c>
      <c r="M12" s="13">
        <f t="shared" si="2"/>
        <v>18390</v>
      </c>
      <c r="N12" s="14" t="s">
        <v>33</v>
      </c>
    </row>
    <row r="13" ht="20.25" customHeight="1">
      <c r="A13" s="16" t="s">
        <v>34</v>
      </c>
      <c r="M13" s="17">
        <f>SUM(M4:M12)</f>
        <v>109294</v>
      </c>
    </row>
    <row r="14" ht="23.25" customHeight="1">
      <c r="I14" s="18"/>
      <c r="K14" s="18"/>
      <c r="M14" s="18"/>
    </row>
    <row r="15" ht="29.25" customHeight="1">
      <c r="I15" s="19"/>
      <c r="J15" s="20"/>
      <c r="K15" s="19"/>
      <c r="L15" s="20"/>
      <c r="M15" s="19"/>
    </row>
    <row r="16" ht="34.5" customHeight="1">
      <c r="A16" s="21"/>
    </row>
    <row r="17" ht="20.25" customHeight="1">
      <c r="A17" s="1" t="s">
        <v>1</v>
      </c>
    </row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7">
    <mergeCell ref="A1:C1"/>
    <mergeCell ref="D1:E1"/>
    <mergeCell ref="F1:M1"/>
    <mergeCell ref="A2:M2"/>
    <mergeCell ref="A13:L13"/>
    <mergeCell ref="A16:L16"/>
    <mergeCell ref="A17:M17"/>
  </mergeCells>
  <printOptions/>
  <pageMargins bottom="0.75" footer="0.0" header="0.0" left="0.7" right="0.7" top="0.75"/>
  <pageSetup orientation="landscape"/>
  <drawing r:id="rId1"/>
</worksheet>
</file>